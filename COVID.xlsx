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4538348-k\Desktop\DASHBOARD (html)\COVID\"/>
    </mc:Choice>
  </mc:AlternateContent>
  <xr:revisionPtr revIDLastSave="0" documentId="13_ncr:1_{B774C19E-5004-4F85-9854-A0FAF32ED49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ISTORICO" sheetId="1" r:id="rId1"/>
    <sheet name="ACTUAL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5" i="2"/>
  <c r="O7" i="2" l="1"/>
  <c r="N7" i="2"/>
  <c r="M7" i="2"/>
  <c r="L7" i="2"/>
  <c r="K7" i="2"/>
  <c r="J7" i="2"/>
  <c r="I7" i="2"/>
  <c r="H7" i="2"/>
  <c r="G7" i="2"/>
  <c r="F7" i="2"/>
  <c r="E7" i="2"/>
  <c r="D7" i="2"/>
  <c r="C7" i="2"/>
</calcChain>
</file>

<file path=xl/sharedStrings.xml><?xml version="1.0" encoding="utf-8"?>
<sst xmlns="http://schemas.openxmlformats.org/spreadsheetml/2006/main" count="62" uniqueCount="27">
  <si>
    <t>CAMPAÑA VACUNACIÓN COVID-19 — DATOS HISTÓRICOS 2021–2025</t>
  </si>
  <si>
    <t>Fuente: Archivos consolidados por vacuna | Unidad de Vacunación</t>
  </si>
  <si>
    <t>AÑO</t>
  </si>
  <si>
    <t>VACUNA</t>
  </si>
  <si>
    <t>TOTAL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</si>
  <si>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</si>
  <si>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</si>
  <si>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</si>
  <si>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</si>
  <si>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</si>
  <si>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</si>
  <si>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</si>
  <si>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</si>
  <si>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</si>
  <si>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</si>
  <si>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</si>
  <si>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</si>
  <si>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PFIZER</t>
  </si>
  <si>
    <t>SINOVAC</t>
  </si>
  <si>
    <t>ASTRAZENECA</t>
  </si>
  <si>
    <t>CANSINO</t>
  </si>
  <si>
    <t>EXTRANJERO</t>
  </si>
  <si>
    <t>TOTAL AÑO</t>
  </si>
  <si>
    <t>MODERNA</t>
  </si>
  <si>
    <t>CAMPAÑA VACUNACIÓN COVID-19 — AÑO EN CURSO</t>
  </si>
  <si>
    <t>INSTRUCCIÓN: Actualizar este archivo mensualmente con los datos del año en curso. Vacunas activas: MODERNA actualizada | PFIZER actualizada</t>
  </si>
  <si>
    <t>ℹ  Este archivo se llama siempre "ACTUAL" — no cambies el nombre. El año se detecta automáticamente. Para el próximo año borra los datos de meses y actualiza col. AÑO.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</si>
</sst>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B5B5B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0"/>
      <color rgb="FF375623"/>
      <name val="Arial"/>
    </font>
    <font>
      <sz val="9"/>
      <color rgb="FF7B3F00"/>
      <name val="Arial"/>
    </font>
    <font>
      <b/>
      <sz val="10"/>
      <color rgb="FF833C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833C00"/>
      </patternFill>
    </fill>
    <fill>
      <patternFill patternType="solid">
        <fgColor rgb="FFFFF2CC"/>
      </patternFill>
    </fill>
    <fill>
      <patternFill patternType="solid">
        <fgColor rgb="FFFFC000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3" fontId="4" fillId="4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3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3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3" fontId="7" fillId="10" borderId="1" xfId="0" applyNumberFormat="1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left" vertical="center" wrapText="1"/>
    </xf>
    <xf numFmtId="0" fontId="2" fillId="8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baseColWidth="10" defaultColWidth="9.140625" defaultRowHeight="15" x14ac:dyDescent="0.25"/>
  <cols>
    <col min="1" max="1" width="8" customWidth="1"/>
    <col min="2" max="2" width="16" customWidth="1"/>
    <col min="3" max="16" width="12" customWidth="1"/>
  </cols>
  <sheetData>
    <row r="1" spans="1:16" ht="30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8" customHeight="1" x14ac:dyDescent="0.25">
      <c r="A2" s="16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35.1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</row>
    <row r="4" spans="1:16" ht="18" customHeight="1" x14ac:dyDescent="0.25">
      <c r="A4" s="2">
        <v>2021</v>
      </c>
      <c r="B4" s="3" t="s">
        <v>17</v>
      </c>
      <c r="C4" s="2">
        <v>103881</v>
      </c>
      <c r="D4" s="2">
        <v>1318</v>
      </c>
      <c r="E4" s="2">
        <v>1300</v>
      </c>
      <c r="F4" s="2">
        <v>5155</v>
      </c>
      <c r="G4" s="2">
        <v>3648</v>
      </c>
      <c r="H4" s="2">
        <v>3902</v>
      </c>
      <c r="I4" s="2">
        <v>7708</v>
      </c>
      <c r="J4" s="2">
        <v>8873</v>
      </c>
      <c r="K4" s="2">
        <v>5198</v>
      </c>
      <c r="L4" s="2">
        <v>8096</v>
      </c>
      <c r="M4" s="2">
        <v>17385</v>
      </c>
      <c r="N4" s="2">
        <v>18972</v>
      </c>
      <c r="O4" s="2">
        <v>22326</v>
      </c>
    </row>
    <row r="5" spans="1:16" ht="18" customHeight="1" x14ac:dyDescent="0.25">
      <c r="A5" s="4">
        <v>2021</v>
      </c>
      <c r="B5" s="5" t="s">
        <v>18</v>
      </c>
      <c r="C5" s="4">
        <v>113972</v>
      </c>
      <c r="D5" s="4">
        <v>0</v>
      </c>
      <c r="E5" s="4">
        <v>20374</v>
      </c>
      <c r="F5" s="4">
        <v>32616</v>
      </c>
      <c r="G5" s="4">
        <v>15924</v>
      </c>
      <c r="H5" s="4">
        <v>6348</v>
      </c>
      <c r="I5" s="4">
        <v>7974</v>
      </c>
      <c r="J5" s="4">
        <v>4036</v>
      </c>
      <c r="K5" s="4">
        <v>4237</v>
      </c>
      <c r="L5" s="4">
        <v>6108</v>
      </c>
      <c r="M5" s="4">
        <v>8399</v>
      </c>
      <c r="N5" s="4">
        <v>5463</v>
      </c>
      <c r="O5" s="4">
        <v>2493</v>
      </c>
    </row>
    <row r="6" spans="1:16" ht="18" customHeight="1" x14ac:dyDescent="0.25">
      <c r="A6" s="2">
        <v>2021</v>
      </c>
      <c r="B6" s="3" t="s">
        <v>19</v>
      </c>
      <c r="C6" s="2">
        <v>15423</v>
      </c>
      <c r="D6" s="2">
        <v>0</v>
      </c>
      <c r="E6" s="2">
        <v>0</v>
      </c>
      <c r="F6" s="2">
        <v>0</v>
      </c>
      <c r="G6" s="2">
        <v>0</v>
      </c>
      <c r="H6" s="2">
        <v>1359</v>
      </c>
      <c r="I6" s="2">
        <v>315</v>
      </c>
      <c r="J6" s="2">
        <v>249</v>
      </c>
      <c r="K6" s="2">
        <v>6586</v>
      </c>
      <c r="L6" s="2">
        <v>3956</v>
      </c>
      <c r="M6" s="2">
        <v>1785</v>
      </c>
      <c r="N6" s="2">
        <v>864</v>
      </c>
      <c r="O6" s="2">
        <v>309</v>
      </c>
    </row>
    <row r="7" spans="1:16" ht="18" customHeight="1" x14ac:dyDescent="0.25">
      <c r="A7" s="4">
        <v>2021</v>
      </c>
      <c r="B7" s="5" t="s">
        <v>20</v>
      </c>
      <c r="C7" s="4">
        <v>1489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588</v>
      </c>
      <c r="J7" s="4">
        <v>811</v>
      </c>
      <c r="K7" s="4">
        <v>29</v>
      </c>
      <c r="L7" s="4">
        <v>21</v>
      </c>
      <c r="M7" s="4">
        <v>7</v>
      </c>
      <c r="N7" s="4">
        <v>29</v>
      </c>
      <c r="O7" s="4">
        <v>4</v>
      </c>
    </row>
    <row r="8" spans="1:16" ht="18" customHeight="1" x14ac:dyDescent="0.25">
      <c r="A8" s="2">
        <v>2021</v>
      </c>
      <c r="B8" s="3" t="s">
        <v>21</v>
      </c>
      <c r="C8" s="2">
        <v>120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2</v>
      </c>
      <c r="N8" s="2">
        <v>27</v>
      </c>
      <c r="O8" s="2">
        <v>89</v>
      </c>
    </row>
    <row r="9" spans="1:16" ht="20.100000000000001" customHeight="1" x14ac:dyDescent="0.25">
      <c r="A9" s="6">
        <v>2021</v>
      </c>
      <c r="B9" s="7" t="s">
        <v>22</v>
      </c>
      <c r="C9" s="6">
        <v>234885</v>
      </c>
      <c r="D9" s="6">
        <v>1318</v>
      </c>
      <c r="E9" s="6">
        <v>21674</v>
      </c>
      <c r="F9" s="6">
        <v>37771</v>
      </c>
      <c r="G9" s="6">
        <v>19572</v>
      </c>
      <c r="H9" s="6">
        <v>11609</v>
      </c>
      <c r="I9" s="6">
        <v>16585</v>
      </c>
      <c r="J9" s="6">
        <v>13969</v>
      </c>
      <c r="K9" s="6">
        <v>16050</v>
      </c>
      <c r="L9" s="6">
        <v>18181</v>
      </c>
      <c r="M9" s="6">
        <v>27578</v>
      </c>
      <c r="N9" s="6">
        <v>25355</v>
      </c>
      <c r="O9" s="6">
        <v>25221</v>
      </c>
    </row>
    <row r="11" spans="1:16" ht="18" customHeight="1" x14ac:dyDescent="0.25">
      <c r="A11" s="2">
        <v>2022</v>
      </c>
      <c r="B11" s="3" t="s">
        <v>17</v>
      </c>
      <c r="C11" s="2">
        <v>131884</v>
      </c>
      <c r="D11" s="2">
        <v>16376</v>
      </c>
      <c r="E11" s="2">
        <v>16414</v>
      </c>
      <c r="F11" s="2">
        <v>15082</v>
      </c>
      <c r="G11" s="2">
        <v>11285</v>
      </c>
      <c r="H11" s="2">
        <v>12355</v>
      </c>
      <c r="I11" s="2">
        <v>17766</v>
      </c>
      <c r="J11" s="2">
        <v>16623</v>
      </c>
      <c r="K11" s="2">
        <v>7627</v>
      </c>
      <c r="L11" s="2">
        <v>4484</v>
      </c>
      <c r="M11" s="2">
        <v>3628</v>
      </c>
      <c r="N11" s="2">
        <v>6833</v>
      </c>
      <c r="O11" s="2">
        <v>3411</v>
      </c>
    </row>
    <row r="12" spans="1:16" ht="18" customHeight="1" x14ac:dyDescent="0.25">
      <c r="A12" s="4">
        <v>2022</v>
      </c>
      <c r="B12" s="5" t="s">
        <v>23</v>
      </c>
      <c r="C12" s="4">
        <v>35667</v>
      </c>
      <c r="D12" s="4">
        <v>0</v>
      </c>
      <c r="E12" s="4">
        <v>0</v>
      </c>
      <c r="F12" s="4">
        <v>0</v>
      </c>
      <c r="G12" s="4">
        <v>6196</v>
      </c>
      <c r="H12" s="4">
        <v>18597</v>
      </c>
      <c r="I12" s="4">
        <v>7238</v>
      </c>
      <c r="J12" s="4">
        <v>40</v>
      </c>
      <c r="K12" s="4">
        <v>1798</v>
      </c>
      <c r="L12" s="4">
        <v>0</v>
      </c>
      <c r="M12" s="4">
        <v>0</v>
      </c>
      <c r="N12" s="4">
        <v>1529</v>
      </c>
      <c r="O12" s="4">
        <v>269</v>
      </c>
    </row>
    <row r="13" spans="1:16" ht="18" customHeight="1" x14ac:dyDescent="0.25">
      <c r="A13" s="2">
        <v>2022</v>
      </c>
      <c r="B13" s="3" t="s">
        <v>18</v>
      </c>
      <c r="C13" s="2">
        <v>10081</v>
      </c>
      <c r="D13" s="2">
        <v>3263</v>
      </c>
      <c r="E13" s="2">
        <v>2624</v>
      </c>
      <c r="F13" s="2">
        <v>1295</v>
      </c>
      <c r="G13" s="2">
        <v>494</v>
      </c>
      <c r="H13" s="2">
        <v>508</v>
      </c>
      <c r="I13" s="2">
        <v>383</v>
      </c>
      <c r="J13" s="2">
        <v>477</v>
      </c>
      <c r="K13" s="2">
        <v>369</v>
      </c>
      <c r="L13" s="2">
        <v>249</v>
      </c>
      <c r="M13" s="2">
        <v>160</v>
      </c>
      <c r="N13" s="2">
        <v>179</v>
      </c>
      <c r="O13" s="2">
        <v>80</v>
      </c>
    </row>
    <row r="14" spans="1:16" ht="18" customHeight="1" x14ac:dyDescent="0.25">
      <c r="A14" s="4">
        <v>2022</v>
      </c>
      <c r="B14" s="5" t="s">
        <v>19</v>
      </c>
      <c r="C14" s="4">
        <v>170</v>
      </c>
      <c r="D14" s="4">
        <v>170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</row>
    <row r="15" spans="1:16" ht="18" customHeight="1" x14ac:dyDescent="0.25">
      <c r="A15" s="2">
        <v>2022</v>
      </c>
      <c r="B15" s="3" t="s">
        <v>20</v>
      </c>
      <c r="C15" s="2">
        <v>13</v>
      </c>
      <c r="D15" s="2">
        <v>13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</row>
    <row r="16" spans="1:16" ht="18" customHeight="1" x14ac:dyDescent="0.25">
      <c r="A16" s="4">
        <v>2022</v>
      </c>
      <c r="B16" s="5" t="s">
        <v>21</v>
      </c>
      <c r="C16" s="4">
        <v>898</v>
      </c>
      <c r="D16" s="4">
        <v>106</v>
      </c>
      <c r="E16" s="4">
        <v>98</v>
      </c>
      <c r="F16" s="4">
        <v>91</v>
      </c>
      <c r="G16" s="4">
        <v>117</v>
      </c>
      <c r="H16" s="4">
        <v>95</v>
      </c>
      <c r="I16" s="4">
        <v>105</v>
      </c>
      <c r="J16" s="4">
        <v>74</v>
      </c>
      <c r="K16" s="4">
        <v>92</v>
      </c>
      <c r="L16" s="4">
        <v>73</v>
      </c>
      <c r="M16" s="4">
        <v>14</v>
      </c>
      <c r="N16" s="4">
        <v>24</v>
      </c>
      <c r="O16" s="4">
        <v>9</v>
      </c>
    </row>
    <row r="17" spans="1:15" ht="20.100000000000001" customHeight="1" x14ac:dyDescent="0.25">
      <c r="A17" s="6">
        <v>2022</v>
      </c>
      <c r="B17" s="7" t="s">
        <v>22</v>
      </c>
      <c r="C17" s="6">
        <v>178713</v>
      </c>
      <c r="D17" s="6">
        <v>19928</v>
      </c>
      <c r="E17" s="6">
        <v>19136</v>
      </c>
      <c r="F17" s="6">
        <v>16468</v>
      </c>
      <c r="G17" s="6">
        <v>18092</v>
      </c>
      <c r="H17" s="6">
        <v>31555</v>
      </c>
      <c r="I17" s="6">
        <v>25492</v>
      </c>
      <c r="J17" s="6">
        <v>17214</v>
      </c>
      <c r="K17" s="6">
        <v>9886</v>
      </c>
      <c r="L17" s="6">
        <v>4806</v>
      </c>
      <c r="M17" s="6">
        <v>3802</v>
      </c>
      <c r="N17" s="6">
        <v>8565</v>
      </c>
      <c r="O17" s="6">
        <v>3769</v>
      </c>
    </row>
    <row r="19" spans="1:15" ht="18" customHeight="1" x14ac:dyDescent="0.25">
      <c r="A19" s="2">
        <v>2023</v>
      </c>
      <c r="B19" s="3" t="s">
        <v>17</v>
      </c>
      <c r="C19" s="2">
        <v>8153</v>
      </c>
      <c r="D19" s="2">
        <v>2741</v>
      </c>
      <c r="E19" s="2">
        <v>617</v>
      </c>
      <c r="F19" s="2">
        <v>1224</v>
      </c>
      <c r="G19" s="2">
        <v>451</v>
      </c>
      <c r="H19" s="2">
        <v>867</v>
      </c>
      <c r="I19" s="2">
        <v>1521</v>
      </c>
      <c r="J19" s="2">
        <v>374</v>
      </c>
      <c r="K19" s="2">
        <v>330</v>
      </c>
      <c r="L19" s="2">
        <v>28</v>
      </c>
      <c r="M19" s="2">
        <v>0</v>
      </c>
      <c r="N19" s="2">
        <v>0</v>
      </c>
      <c r="O19" s="2">
        <v>0</v>
      </c>
    </row>
    <row r="20" spans="1:15" ht="18" customHeight="1" x14ac:dyDescent="0.25">
      <c r="A20" s="4">
        <v>2023</v>
      </c>
      <c r="B20" s="5" t="s">
        <v>23</v>
      </c>
      <c r="C20" s="4">
        <v>7889</v>
      </c>
      <c r="D20" s="4">
        <v>37</v>
      </c>
      <c r="E20" s="4">
        <v>813</v>
      </c>
      <c r="F20" s="4">
        <v>1502</v>
      </c>
      <c r="G20" s="4">
        <v>2076</v>
      </c>
      <c r="H20" s="4">
        <v>1631</v>
      </c>
      <c r="I20" s="4">
        <v>864</v>
      </c>
      <c r="J20" s="4">
        <v>881</v>
      </c>
      <c r="K20" s="4">
        <v>83</v>
      </c>
      <c r="L20" s="4">
        <v>0</v>
      </c>
      <c r="M20" s="4">
        <v>0</v>
      </c>
      <c r="N20" s="4">
        <v>2</v>
      </c>
      <c r="O20" s="4">
        <v>0</v>
      </c>
    </row>
    <row r="21" spans="1:15" ht="18" customHeight="1" x14ac:dyDescent="0.25">
      <c r="A21" s="2">
        <v>2023</v>
      </c>
      <c r="B21" s="3" t="s">
        <v>18</v>
      </c>
      <c r="C21" s="2">
        <v>223</v>
      </c>
      <c r="D21" s="2">
        <v>42</v>
      </c>
      <c r="E21" s="2">
        <v>35</v>
      </c>
      <c r="F21" s="2">
        <v>21</v>
      </c>
      <c r="G21" s="2">
        <v>16</v>
      </c>
      <c r="H21" s="2">
        <v>27</v>
      </c>
      <c r="I21" s="2">
        <v>31</v>
      </c>
      <c r="J21" s="2">
        <v>19</v>
      </c>
      <c r="K21" s="2">
        <v>9</v>
      </c>
      <c r="L21" s="2">
        <v>4</v>
      </c>
      <c r="M21" s="2">
        <v>7</v>
      </c>
      <c r="N21" s="2">
        <v>4</v>
      </c>
      <c r="O21" s="2">
        <v>8</v>
      </c>
    </row>
    <row r="22" spans="1:15" ht="18" customHeight="1" x14ac:dyDescent="0.25">
      <c r="A22" s="4">
        <v>2023</v>
      </c>
      <c r="B22" s="5" t="s">
        <v>21</v>
      </c>
      <c r="C22" s="4">
        <v>24</v>
      </c>
      <c r="D22" s="4">
        <v>11</v>
      </c>
      <c r="E22" s="4">
        <v>3</v>
      </c>
      <c r="F22" s="4">
        <v>0</v>
      </c>
      <c r="G22" s="4">
        <v>3</v>
      </c>
      <c r="H22" s="4">
        <v>3</v>
      </c>
      <c r="I22" s="4">
        <v>1</v>
      </c>
      <c r="J22" s="4">
        <v>2</v>
      </c>
      <c r="K22" s="4">
        <v>1</v>
      </c>
      <c r="L22" s="4">
        <v>0</v>
      </c>
      <c r="M22" s="4">
        <v>0</v>
      </c>
      <c r="N22" s="4">
        <v>0</v>
      </c>
      <c r="O22" s="4">
        <v>0</v>
      </c>
    </row>
    <row r="23" spans="1:15" ht="20.100000000000001" customHeight="1" x14ac:dyDescent="0.25">
      <c r="A23" s="6">
        <v>2023</v>
      </c>
      <c r="B23" s="7" t="s">
        <v>22</v>
      </c>
      <c r="C23" s="6">
        <v>16289</v>
      </c>
      <c r="D23" s="6">
        <v>2831</v>
      </c>
      <c r="E23" s="6">
        <v>1468</v>
      </c>
      <c r="F23" s="6">
        <v>2747</v>
      </c>
      <c r="G23" s="6">
        <v>2546</v>
      </c>
      <c r="H23" s="6">
        <v>2528</v>
      </c>
      <c r="I23" s="6">
        <v>2417</v>
      </c>
      <c r="J23" s="6">
        <v>1276</v>
      </c>
      <c r="K23" s="6">
        <v>423</v>
      </c>
      <c r="L23" s="6">
        <v>32</v>
      </c>
      <c r="M23" s="6">
        <v>7</v>
      </c>
      <c r="N23" s="6">
        <v>6</v>
      </c>
      <c r="O23" s="6">
        <v>8</v>
      </c>
    </row>
    <row r="25" spans="1:15" ht="18" customHeight="1" x14ac:dyDescent="0.25">
      <c r="A25" s="2">
        <v>2024</v>
      </c>
      <c r="B25" s="3" t="s">
        <v>17</v>
      </c>
      <c r="C25" s="2">
        <v>3758</v>
      </c>
      <c r="D25" s="2">
        <v>18</v>
      </c>
      <c r="E25" s="2">
        <v>192</v>
      </c>
      <c r="F25" s="2">
        <v>542</v>
      </c>
      <c r="G25" s="2">
        <v>922</v>
      </c>
      <c r="H25" s="2">
        <v>1985</v>
      </c>
      <c r="I25" s="2">
        <v>0</v>
      </c>
      <c r="J25" s="2">
        <v>32</v>
      </c>
      <c r="K25" s="2">
        <v>27</v>
      </c>
      <c r="L25" s="2">
        <v>9</v>
      </c>
      <c r="M25" s="2">
        <v>6</v>
      </c>
      <c r="N25" s="2">
        <v>16</v>
      </c>
      <c r="O25" s="2">
        <v>9</v>
      </c>
    </row>
    <row r="26" spans="1:15" ht="18" customHeight="1" x14ac:dyDescent="0.25">
      <c r="A26" s="4">
        <v>2024</v>
      </c>
      <c r="B26" s="5" t="s">
        <v>23</v>
      </c>
      <c r="C26" s="4">
        <v>5406</v>
      </c>
      <c r="D26" s="4">
        <v>258</v>
      </c>
      <c r="E26" s="4">
        <v>63</v>
      </c>
      <c r="F26" s="4">
        <v>475</v>
      </c>
      <c r="G26" s="4">
        <v>1872</v>
      </c>
      <c r="H26" s="4">
        <v>2425</v>
      </c>
      <c r="I26" s="4">
        <v>146</v>
      </c>
      <c r="J26" s="4">
        <v>53</v>
      </c>
      <c r="K26" s="4">
        <v>22</v>
      </c>
      <c r="L26" s="4">
        <v>10</v>
      </c>
      <c r="M26" s="4">
        <v>27</v>
      </c>
      <c r="N26" s="4">
        <v>29</v>
      </c>
      <c r="O26" s="4">
        <v>26</v>
      </c>
    </row>
    <row r="27" spans="1:15" ht="20.100000000000001" customHeight="1" x14ac:dyDescent="0.25">
      <c r="A27" s="6">
        <v>2024</v>
      </c>
      <c r="B27" s="7" t="s">
        <v>22</v>
      </c>
      <c r="C27" s="6">
        <v>9164</v>
      </c>
      <c r="D27" s="6">
        <v>276</v>
      </c>
      <c r="E27" s="6">
        <v>255</v>
      </c>
      <c r="F27" s="6">
        <v>1017</v>
      </c>
      <c r="G27" s="6">
        <v>2794</v>
      </c>
      <c r="H27" s="6">
        <v>4410</v>
      </c>
      <c r="I27" s="6">
        <v>146</v>
      </c>
      <c r="J27" s="6">
        <v>85</v>
      </c>
      <c r="K27" s="6">
        <v>49</v>
      </c>
      <c r="L27" s="6">
        <v>19</v>
      </c>
      <c r="M27" s="6">
        <v>33</v>
      </c>
      <c r="N27" s="6">
        <v>45</v>
      </c>
      <c r="O27" s="6">
        <v>35</v>
      </c>
    </row>
    <row r="29" spans="1:15" ht="18" customHeight="1" x14ac:dyDescent="0.25">
      <c r="A29" s="2">
        <v>2025</v>
      </c>
      <c r="B29" s="3" t="s">
        <v>17</v>
      </c>
      <c r="C29" s="2">
        <v>1851</v>
      </c>
      <c r="D29" s="2">
        <v>0</v>
      </c>
      <c r="E29" s="2">
        <v>0</v>
      </c>
      <c r="F29" s="2">
        <v>1622</v>
      </c>
      <c r="G29" s="2">
        <v>29</v>
      </c>
      <c r="H29" s="2">
        <v>115</v>
      </c>
      <c r="I29" s="2">
        <v>57</v>
      </c>
      <c r="J29" s="2">
        <v>28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ht="18" customHeight="1" x14ac:dyDescent="0.25">
      <c r="A30" s="4">
        <v>2025</v>
      </c>
      <c r="B30" s="5" t="s">
        <v>23</v>
      </c>
      <c r="C30" s="4">
        <v>2405</v>
      </c>
      <c r="D30" s="4">
        <v>53</v>
      </c>
      <c r="E30" s="4">
        <v>37</v>
      </c>
      <c r="F30" s="4">
        <v>1134</v>
      </c>
      <c r="G30" s="4">
        <v>858</v>
      </c>
      <c r="H30" s="4">
        <v>172</v>
      </c>
      <c r="I30" s="4">
        <v>78</v>
      </c>
      <c r="J30" s="4">
        <v>53</v>
      </c>
      <c r="K30" s="4">
        <v>10</v>
      </c>
      <c r="L30" s="4">
        <v>10</v>
      </c>
      <c r="M30" s="4">
        <v>0</v>
      </c>
      <c r="N30" s="4">
        <v>0</v>
      </c>
      <c r="O30" s="4">
        <v>0</v>
      </c>
    </row>
    <row r="31" spans="1:15" ht="20.100000000000001" customHeight="1" x14ac:dyDescent="0.25">
      <c r="A31" s="6">
        <v>2025</v>
      </c>
      <c r="B31" s="7" t="s">
        <v>22</v>
      </c>
      <c r="C31" s="6">
        <v>4256</v>
      </c>
      <c r="D31" s="6">
        <v>53</v>
      </c>
      <c r="E31" s="6">
        <v>37</v>
      </c>
      <c r="F31" s="6">
        <v>2756</v>
      </c>
      <c r="G31" s="6">
        <v>887</v>
      </c>
      <c r="H31" s="6">
        <v>287</v>
      </c>
      <c r="I31" s="6">
        <v>135</v>
      </c>
      <c r="J31" s="6">
        <v>81</v>
      </c>
      <c r="K31" s="6">
        <v>10</v>
      </c>
      <c r="L31" s="6">
        <v>10</v>
      </c>
      <c r="M31" s="6">
        <v>0</v>
      </c>
      <c r="N31" s="6">
        <v>0</v>
      </c>
      <c r="O31" s="6">
        <v>0</v>
      </c>
    </row>
  </sheetData>
  <mergeCells count="2">
    <mergeCell ref="A1:P1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"/>
  <sheetViews>
    <sheetView showGridLines="0" tabSelected="1" workbookViewId="0">
      <pane xSplit="2" ySplit="4" topLeftCell="C5" activePane="bottomRight" state="frozen"/>
      <selection pane="topRight"/>
      <selection pane="bottomLeft"/>
      <selection pane="bottomRight" activeCell="D7" sqref="D7"/>
    </sheetView>
  </sheetViews>
  <sheetFormatPr baseColWidth="10" defaultColWidth="9.140625" defaultRowHeight="15" x14ac:dyDescent="0.25"/>
  <cols>
    <col min="1" max="1" width="8" customWidth="1"/>
    <col min="2" max="2" width="16" customWidth="1"/>
    <col min="3" max="16" width="12" customWidth="1"/>
  </cols>
  <sheetData>
    <row r="1" spans="1:16" ht="30" customHeight="1" x14ac:dyDescent="0.25">
      <c r="A1" s="17" t="s">
        <v>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21.95" customHeight="1" x14ac:dyDescent="0.25">
      <c r="A2" s="19" t="s">
        <v>25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</row>
    <row r="3" spans="1:16" ht="21.95" customHeight="1" x14ac:dyDescent="0.25">
      <c r="A3" s="18" t="s">
        <v>26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</row>
    <row r="4" spans="1:16" ht="35.1" customHeight="1" x14ac:dyDescent="0.25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8" t="s">
        <v>14</v>
      </c>
      <c r="N4" s="8" t="s">
        <v>15</v>
      </c>
      <c r="O4" s="8" t="s">
        <v>16</v>
      </c>
    </row>
    <row r="5" spans="1:16" ht="18" customHeight="1" x14ac:dyDescent="0.25">
      <c r="A5" s="9">
        <v>2026</v>
      </c>
      <c r="B5" s="10" t="s">
        <v>23</v>
      </c>
      <c r="C5" s="9">
        <f>SUM(D5:O5)</f>
        <v>7</v>
      </c>
      <c r="D5" s="9">
        <v>2</v>
      </c>
      <c r="E5" s="9">
        <v>5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</row>
    <row r="6" spans="1:16" ht="18" customHeight="1" x14ac:dyDescent="0.25">
      <c r="A6" s="4">
        <v>2026</v>
      </c>
      <c r="B6" s="5" t="s">
        <v>17</v>
      </c>
      <c r="C6" s="4">
        <f>SUM(D6:O6)</f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</row>
    <row r="7" spans="1:16" ht="20.100000000000001" customHeight="1" x14ac:dyDescent="0.25">
      <c r="A7" s="11">
        <v>2026</v>
      </c>
      <c r="B7" s="12" t="s">
        <v>22</v>
      </c>
      <c r="C7" s="13">
        <f t="shared" ref="C7:O7" si="0">SUM(C5:C6)</f>
        <v>7</v>
      </c>
      <c r="D7" s="11">
        <f t="shared" si="0"/>
        <v>2</v>
      </c>
      <c r="E7" s="11">
        <f t="shared" si="0"/>
        <v>5</v>
      </c>
      <c r="F7" s="11">
        <f t="shared" si="0"/>
        <v>0</v>
      </c>
      <c r="G7" s="11">
        <f t="shared" si="0"/>
        <v>0</v>
      </c>
      <c r="H7" s="11">
        <f t="shared" si="0"/>
        <v>0</v>
      </c>
      <c r="I7" s="11">
        <f t="shared" si="0"/>
        <v>0</v>
      </c>
      <c r="J7" s="11">
        <f t="shared" si="0"/>
        <v>0</v>
      </c>
      <c r="K7" s="11">
        <f t="shared" si="0"/>
        <v>0</v>
      </c>
      <c r="L7" s="11">
        <f t="shared" si="0"/>
        <v>0</v>
      </c>
      <c r="M7" s="11">
        <f t="shared" si="0"/>
        <v>0</v>
      </c>
      <c r="N7" s="11">
        <f t="shared" si="0"/>
        <v>0</v>
      </c>
      <c r="O7" s="11">
        <f t="shared" si="0"/>
        <v>0</v>
      </c>
    </row>
  </sheetData>
  <mergeCells count="3">
    <mergeCell ref="A1:P1"/>
    <mergeCell ref="A3:P3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HISTORICO</vt:lpstr>
      <vt:lpstr>ACTUAL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Villalobosr</cp:lastModifiedBy>
  <dcterms:created xsi:type="dcterms:W3CDTF">2026-03-19T17:15:09Z</dcterms:created>
  <dcterms:modified xsi:type="dcterms:W3CDTF">2026-03-19T17:59:37Z</dcterms:modified>
</cp:coreProperties>
</file>